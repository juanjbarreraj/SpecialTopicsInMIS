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juanbarrera/Documents/2026/SpringSemester/SpecialTopicsInMIS/"/>
    </mc:Choice>
  </mc:AlternateContent>
  <xr:revisionPtr revIDLastSave="0" documentId="8_{A337E006-B9C3-6C4D-A6F4-A34207FF371D}" xr6:coauthVersionLast="47" xr6:coauthVersionMax="47" xr10:uidLastSave="{00000000-0000-0000-0000-000000000000}"/>
  <bookViews>
    <workbookView xWindow="0" yWindow="600" windowWidth="38400" windowHeight="19480" activeTab="2" xr2:uid="{00000000-000D-0000-FFFF-FFFF00000000}"/>
  </bookViews>
  <sheets>
    <sheet name="Prob1" sheetId="1" r:id="rId1"/>
    <sheet name="Prob2" sheetId="2" r:id="rId2"/>
    <sheet name="Prob3" sheetId="3" r:id="rId3"/>
  </sheets>
  <definedNames>
    <definedName name="solver_adj" localSheetId="0" hidden="1">Prob1!$E$2:$E$6</definedName>
    <definedName name="solver_adj" localSheetId="1" hidden="1">Prob2!$F$2:$F$6</definedName>
    <definedName name="solver_adj" localSheetId="2" hidden="1">Prob3!$B$9:$G$9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lhs1" localSheetId="0" hidden="1">Prob1!$B$10</definedName>
    <definedName name="solver_lhs1" localSheetId="1" hidden="1">Prob2!$B$10</definedName>
    <definedName name="solver_lhs1" localSheetId="2" hidden="1">Prob3!$B$13</definedName>
    <definedName name="solver_lhs2" localSheetId="0" hidden="1">Prob1!$B$9</definedName>
    <definedName name="solver_lhs2" localSheetId="1" hidden="1">Prob2!$B$8</definedName>
    <definedName name="solver_lhs2" localSheetId="2" hidden="1">Prob3!$B$14</definedName>
    <definedName name="solver_lhs3" localSheetId="0" hidden="1">Prob1!$E$2:$E$6</definedName>
    <definedName name="solver_lhs3" localSheetId="1" hidden="1">Prob2!$B$9</definedName>
    <definedName name="solver_lhs3" localSheetId="2" hidden="1">Prob3!$B$15</definedName>
    <definedName name="solver_lhs4" localSheetId="1" hidden="1">Prob2!$F$2:$F$6</definedName>
    <definedName name="solver_lhs4" localSheetId="2" hidden="1">Prob3!$B$17</definedName>
    <definedName name="solver_lhs5" localSheetId="2" hidden="1">Prob3!$B$18</definedName>
    <definedName name="solver_lhs6" localSheetId="2" hidden="1">Prob3!$B$19</definedName>
    <definedName name="solver_lhs7" localSheetId="2" hidden="1">Prob3!$B$9:$D$9</definedName>
    <definedName name="solver_lhs8" localSheetId="2" hidden="1">Prob3!$E$9:$G$9</definedName>
    <definedName name="solver_lin" localSheetId="0" hidden="1">1</definedName>
    <definedName name="solver_lin" localSheetId="1" hidden="1">1</definedName>
    <definedName name="solver_lin" localSheetId="2" hidden="1">1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0" hidden="1">3</definedName>
    <definedName name="solver_num" localSheetId="1" hidden="1">4</definedName>
    <definedName name="solver_num" localSheetId="2" hidden="1">8</definedName>
    <definedName name="solver_opt" localSheetId="0" hidden="1">Prob1!$B$8</definedName>
    <definedName name="solver_opt" localSheetId="1" hidden="1">Prob2!$B$11</definedName>
    <definedName name="solver_opt" localSheetId="2" hidden="1">Prob3!$B$11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el1" localSheetId="0" hidden="1">3</definedName>
    <definedName name="solver_rel1" localSheetId="1" hidden="1">3</definedName>
    <definedName name="solver_rel1" localSheetId="2" hidden="1">1</definedName>
    <definedName name="solver_rel2" localSheetId="0" hidden="1">3</definedName>
    <definedName name="solver_rel2" localSheetId="1" hidden="1">3</definedName>
    <definedName name="solver_rel2" localSheetId="2" hidden="1">1</definedName>
    <definedName name="solver_rel3" localSheetId="0" hidden="1">5</definedName>
    <definedName name="solver_rel3" localSheetId="1" hidden="1">3</definedName>
    <definedName name="solver_rel3" localSheetId="2" hidden="1">1</definedName>
    <definedName name="solver_rel4" localSheetId="1" hidden="1">4</definedName>
    <definedName name="solver_rel4" localSheetId="2" hidden="1">1</definedName>
    <definedName name="solver_rel5" localSheetId="2" hidden="1">1</definedName>
    <definedName name="solver_rel6" localSheetId="2" hidden="1">1</definedName>
    <definedName name="solver_rel7" localSheetId="2" hidden="1">4</definedName>
    <definedName name="solver_rel8" localSheetId="2" hidden="1">5</definedName>
    <definedName name="solver_rhs1" localSheetId="0" hidden="1">Prob1!$B$13</definedName>
    <definedName name="solver_rhs1" localSheetId="1" hidden="1">Prob2!$E$10</definedName>
    <definedName name="solver_rhs1" localSheetId="2" hidden="1">Prob3!$C$13</definedName>
    <definedName name="solver_rhs2" localSheetId="0" hidden="1">Prob1!$B$12</definedName>
    <definedName name="solver_rhs2" localSheetId="1" hidden="1">Prob2!$E$8</definedName>
    <definedName name="solver_rhs2" localSheetId="2" hidden="1">Prob3!$C$14</definedName>
    <definedName name="solver_rhs3" localSheetId="0" hidden="1">"binary"</definedName>
    <definedName name="solver_rhs3" localSheetId="1" hidden="1">Prob2!$E$9</definedName>
    <definedName name="solver_rhs3" localSheetId="2" hidden="1">Prob3!$C$15</definedName>
    <definedName name="solver_rhs4" localSheetId="1" hidden="1">"integer"</definedName>
    <definedName name="solver_rhs4" localSheetId="2" hidden="1">Prob3!$D$17</definedName>
    <definedName name="solver_rhs5" localSheetId="2" hidden="1">Prob3!$D$18</definedName>
    <definedName name="solver_rhs6" localSheetId="2" hidden="1">Prob3!$D$19</definedName>
    <definedName name="solver_rhs7" localSheetId="2" hidden="1">"integer"</definedName>
    <definedName name="solver_rhs8" localSheetId="2" hidden="1">"binary"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0" hidden="1">2</definedName>
    <definedName name="solver_typ" localSheetId="1" hidden="1">2</definedName>
    <definedName name="solver_typ" localSheetId="2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2</definedName>
    <definedName name="solver_ver" localSheetId="1" hidden="1">2</definedName>
    <definedName name="solver_ver" localSheetId="2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3" l="1"/>
  <c r="B19" i="3"/>
  <c r="D18" i="3"/>
  <c r="B18" i="3"/>
  <c r="D17" i="3"/>
  <c r="B17" i="3"/>
  <c r="B16" i="3"/>
  <c r="B15" i="3"/>
  <c r="B14" i="3"/>
  <c r="B11" i="3"/>
  <c r="B11" i="2"/>
  <c r="B10" i="2"/>
  <c r="B9" i="2"/>
  <c r="B8" i="2"/>
  <c r="B10" i="1"/>
  <c r="B9" i="1"/>
  <c r="B8" i="1"/>
</calcChain>
</file>

<file path=xl/sharedStrings.xml><?xml version="1.0" encoding="utf-8"?>
<sst xmlns="http://schemas.openxmlformats.org/spreadsheetml/2006/main" count="61" uniqueCount="55">
  <si>
    <t>Michigan</t>
  </si>
  <si>
    <t>New York1</t>
  </si>
  <si>
    <t>New York2</t>
  </si>
  <si>
    <t>Ohio</t>
  </si>
  <si>
    <t>California</t>
  </si>
  <si>
    <t>TV</t>
  </si>
  <si>
    <t>Computers</t>
  </si>
  <si>
    <t>Microwaves</t>
  </si>
  <si>
    <t>Available</t>
  </si>
  <si>
    <t>Profit</t>
  </si>
  <si>
    <t>Data Center</t>
  </si>
  <si>
    <t>Cost per Upgrade</t>
  </si>
  <si>
    <t>Secure Servers</t>
  </si>
  <si>
    <t>Super Secure Servers</t>
  </si>
  <si>
    <t>Upgrade Decision (0/1)</t>
  </si>
  <si>
    <t>Legend: Green cells show decision variables. Yellow cells show requirements/constraints. Blue row contains input headers.</t>
  </si>
  <si>
    <t>Total Cost</t>
  </si>
  <si>
    <t>Total Secure Servers</t>
  </si>
  <si>
    <t>Total Super Secure Servers</t>
  </si>
  <si>
    <t>Required Secure Servers</t>
  </si>
  <si>
    <t>Required Super Secure Servers</t>
  </si>
  <si>
    <t>Pattern</t>
  </si>
  <si>
    <t>12 ft Roll</t>
  </si>
  <si>
    <t>15 ft Roll</t>
  </si>
  <si>
    <t>30 ft Roll</t>
  </si>
  <si>
    <t>Trim Loss</t>
  </si>
  <si>
    <t>Number Used</t>
  </si>
  <si>
    <t>Legend: Green cells show pattern usage decisions. Yellow cells show demand requirements. Blue row contains cutting pattern inputs.</t>
  </si>
  <si>
    <t>Total 12 ft Rolls</t>
  </si>
  <si>
    <t>Demand 12 ft Rolls</t>
  </si>
  <si>
    <t>Total 15 ft Rolls</t>
  </si>
  <si>
    <t>Demand 15 ft Rolls</t>
  </si>
  <si>
    <t>Total 30 ft Rolls</t>
  </si>
  <si>
    <t>Demand 30 ft Rolls</t>
  </si>
  <si>
    <t>Total Trim Loss</t>
  </si>
  <si>
    <t>Product / Resource</t>
  </si>
  <si>
    <t>Capacitor</t>
  </si>
  <si>
    <t>Resistor</t>
  </si>
  <si>
    <t>Processor</t>
  </si>
  <si>
    <t>Slack Capacitor</t>
  </si>
  <si>
    <t>Slack Resistor</t>
  </si>
  <si>
    <t>Slack Processor</t>
  </si>
  <si>
    <t>Legend: Green cells show decision/slack values. Yellow cells compare left-hand and right-hand constraint values. Blue rows identify inputs/model variables.</t>
  </si>
  <si>
    <t>Model Variable</t>
  </si>
  <si>
    <t>Decision / Slack Values</t>
  </si>
  <si>
    <t>Total Profit</t>
  </si>
  <si>
    <t>Television Resource Use</t>
  </si>
  <si>
    <t>Computer Resource Use</t>
  </si>
  <si>
    <t>Microwave Resource Use</t>
  </si>
  <si>
    <t>Capacitor Constraint LHS</t>
  </si>
  <si>
    <t>Capacitor Constraint RHS</t>
  </si>
  <si>
    <t>Resistor Constraint LHS</t>
  </si>
  <si>
    <t>Resistor Constraint RHS</t>
  </si>
  <si>
    <t>Processor Constraint LHS</t>
  </si>
  <si>
    <t>Processor Constraint RHS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</si>
</sst>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$#,##0"/>
  </numFmts>
  <fonts count="7" x14ac:knownFonts="1">
    <font>
      <sz val="12"/>
      <color theme="1"/>
      <name val="Aptos Narrow"/>
    </font>
    <font>
      <sz val="11"/>
      <color theme="1"/>
      <name val="Aptos"/>
    </font>
    <font>
      <b/>
      <sz val="11"/>
      <color rgb="FFFFFFFF"/>
      <name val="Aptos"/>
    </font>
    <font>
      <b/>
      <sz val="11"/>
      <color theme="1"/>
      <name val="Aptos"/>
    </font>
    <font>
      <b/>
      <sz val="11"/>
      <color rgb="FF1B5E20"/>
      <name val="Aptos"/>
    </font>
    <font>
      <b/>
      <sz val="11"/>
      <color rgb="FF7F6000"/>
      <name val="Aptos"/>
    </font>
    <font>
      <i/>
      <sz val="10"/>
      <color rgb="FF404040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8FBFD"/>
      </patternFill>
    </fill>
    <fill>
      <patternFill patternType="solid">
        <fgColor rgb="FFE2F0D9"/>
      </patternFill>
    </fill>
    <fill>
      <patternFill patternType="solid">
        <fgColor rgb="FFEAF4EA"/>
      </patternFill>
    </fill>
    <fill>
      <patternFill patternType="solid">
        <fgColor rgb="FFF2F9F1"/>
      </patternFill>
    </fill>
    <fill>
      <patternFill patternType="solid">
        <fgColor rgb="FFFFF2CC"/>
      </patternFill>
    </fill>
    <fill>
      <patternFill patternType="solid">
        <fgColor rgb="FFFFF9E6"/>
      </patternFill>
    </fill>
    <fill>
      <patternFill patternType="solid">
        <fgColor rgb="FFF3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horizontal="left" vertical="center" wrapText="1"/>
    </xf>
    <xf numFmtId="164" fontId="1" fillId="3" borderId="0" xfId="0" applyNumberFormat="1" applyFont="1" applyFill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164" fontId="4" fillId="6" borderId="0" xfId="0" applyNumberFormat="1" applyFont="1" applyFill="1" applyAlignment="1">
      <alignment horizontal="center" vertical="center" wrapText="1"/>
    </xf>
    <xf numFmtId="164" fontId="5" fillId="8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1" fontId="1" fillId="3" borderId="0" xfId="0" applyNumberFormat="1" applyFont="1" applyFill="1" applyAlignment="1">
      <alignment vertical="center" wrapText="1"/>
    </xf>
    <xf numFmtId="1" fontId="3" fillId="4" borderId="0" xfId="0" applyNumberFormat="1" applyFont="1" applyFill="1" applyAlignment="1">
      <alignment horizontal="center" vertical="center" wrapText="1"/>
    </xf>
    <xf numFmtId="1" fontId="1" fillId="0" borderId="0" xfId="0" applyNumberFormat="1" applyFont="1" applyAlignment="1">
      <alignment vertical="center" wrapText="1"/>
    </xf>
    <xf numFmtId="1" fontId="4" fillId="6" borderId="0" xfId="0" applyNumberFormat="1" applyFont="1" applyFill="1" applyAlignment="1">
      <alignment horizontal="center" vertical="center" wrapText="1"/>
    </xf>
    <xf numFmtId="1" fontId="5" fillId="7" borderId="0" xfId="0" applyNumberFormat="1" applyFont="1" applyFill="1" applyAlignment="1">
      <alignment horizontal="left" vertical="center" wrapText="1"/>
    </xf>
    <xf numFmtId="1" fontId="5" fillId="8" borderId="0" xfId="0" applyNumberFormat="1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165" fontId="4" fillId="6" borderId="0" xfId="0" applyNumberFormat="1" applyFont="1" applyFill="1" applyAlignment="1">
      <alignment horizontal="center" vertical="center" wrapText="1"/>
    </xf>
    <xf numFmtId="0" fontId="6" fillId="9" borderId="0" xfId="0" applyFont="1" applyFill="1" applyAlignment="1">
      <alignment horizontal="left" vertical="top" wrapText="1"/>
    </xf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CE4D6"/>
        </patternFill>
      </fill>
    </dxf>
    <dxf>
      <font>
        <b/>
        <color rgb="FF1B5E20"/>
      </font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b1DataTable" displayName="Prob1DataTable" ref="A1:E6">
  <tableColumns count="5">
    <tableColumn id="1" xr3:uid="{00000000-0010-0000-0000-000001000000}" name="Data Center"/>
    <tableColumn id="2" xr3:uid="{00000000-0010-0000-0000-000002000000}" name="Cost per Upgrade"/>
    <tableColumn id="3" xr3:uid="{00000000-0010-0000-0000-000003000000}" name="Secure Servers"/>
    <tableColumn id="4" xr3:uid="{00000000-0010-0000-0000-000004000000}" name="Super Secure Servers"/>
    <tableColumn id="5" xr3:uid="{00000000-0010-0000-0000-000005000000}" name="Upgrade Decision (0/1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b2PatternTable" displayName="Prob2PatternTable" ref="A1:F6">
  <tableColumns count="6">
    <tableColumn id="1" xr3:uid="{00000000-0010-0000-0100-000001000000}" name="Pattern"/>
    <tableColumn id="2" xr3:uid="{00000000-0010-0000-0100-000002000000}" name="12 ft Roll"/>
    <tableColumn id="3" xr3:uid="{00000000-0010-0000-0100-000003000000}" name="15 ft Roll"/>
    <tableColumn id="4" xr3:uid="{00000000-0010-0000-0100-000004000000}" name="30 ft Roll"/>
    <tableColumn id="5" xr3:uid="{00000000-0010-0000-0100-000005000000}" name="Trim Loss"/>
    <tableColumn id="6" xr3:uid="{00000000-0010-0000-0100-000006000000}" name="Number Us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b3InputsTable" displayName="Prob3InputsTable" ref="A1:G6">
  <tableColumns count="7">
    <tableColumn id="1" xr3:uid="{00000000-0010-0000-0200-000001000000}" name="Product / Resource"/>
    <tableColumn id="2" xr3:uid="{00000000-0010-0000-0200-000002000000}" name="Capacitor"/>
    <tableColumn id="3" xr3:uid="{00000000-0010-0000-0200-000003000000}" name="Resistor"/>
    <tableColumn id="4" xr3:uid="{00000000-0010-0000-0200-000004000000}" name="Processor"/>
    <tableColumn id="5" xr3:uid="{00000000-0010-0000-0200-000005000000}" name="Slack Capacitor"/>
    <tableColumn id="6" xr3:uid="{00000000-0010-0000-0200-000006000000}" name="Slack Resistor"/>
    <tableColumn id="7" xr3:uid="{00000000-0010-0000-0200-000007000000}" name="Slack Process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ob3ModelTable" displayName="Prob3ModelTable" ref="A8:G9">
  <tableColumns count="7">
    <tableColumn id="1" xr3:uid="{00000000-0010-0000-0300-000001000000}" name="Model Variable"/>
    <tableColumn id="2" xr3:uid="{00000000-0010-0000-0300-000002000000}" name="Capacitor"/>
    <tableColumn id="3" xr3:uid="{00000000-0010-0000-0300-000003000000}" name="Resistor"/>
    <tableColumn id="4" xr3:uid="{00000000-0010-0000-0300-000004000000}" name="Processor"/>
    <tableColumn id="5" xr3:uid="{00000000-0010-0000-0300-000005000000}" name="Slack Capacitor"/>
    <tableColumn id="6" xr3:uid="{00000000-0010-0000-0300-000006000000}" name="Slack Resistor"/>
    <tableColumn id="7" xr3:uid="{00000000-0010-0000-0300-000007000000}" name="Slack Process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B10" sqref="B10"/>
    </sheetView>
  </sheetViews>
  <sheetFormatPr baseColWidth="10" defaultRowHeight="16" x14ac:dyDescent="0.2"/>
  <cols>
    <col min="1" max="1" width="24" customWidth="1"/>
    <col min="2" max="4" width="18" customWidth="1"/>
    <col min="5" max="5" width="22" customWidth="1"/>
    <col min="7" max="8" width="28" customWidth="1"/>
  </cols>
  <sheetData>
    <row r="1" spans="1:8" ht="21.25" customHeight="1" x14ac:dyDescent="0.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G1" s="20" t="s">
        <v>15</v>
      </c>
      <c r="H1" s="20"/>
    </row>
    <row r="2" spans="1:8" ht="21.25" customHeight="1" x14ac:dyDescent="0.2">
      <c r="A2" s="3" t="s">
        <v>0</v>
      </c>
      <c r="B2" s="7">
        <v>2.5</v>
      </c>
      <c r="C2" s="7">
        <v>50</v>
      </c>
      <c r="D2" s="7">
        <v>30</v>
      </c>
      <c r="E2" s="4">
        <v>1</v>
      </c>
      <c r="G2" s="20"/>
      <c r="H2" s="20"/>
    </row>
    <row r="3" spans="1:8" ht="21.25" customHeight="1" x14ac:dyDescent="0.2">
      <c r="A3" s="3" t="s">
        <v>1</v>
      </c>
      <c r="B3" s="7">
        <v>3.5</v>
      </c>
      <c r="C3" s="7">
        <v>80</v>
      </c>
      <c r="D3" s="7">
        <v>40</v>
      </c>
      <c r="E3" s="4">
        <v>0</v>
      </c>
      <c r="G3" s="20"/>
      <c r="H3" s="20"/>
    </row>
    <row r="4" spans="1:8" ht="21.25" customHeight="1" x14ac:dyDescent="0.2">
      <c r="A4" s="3" t="s">
        <v>2</v>
      </c>
      <c r="B4" s="7">
        <v>3.5</v>
      </c>
      <c r="C4" s="7">
        <v>40</v>
      </c>
      <c r="D4" s="7">
        <v>80</v>
      </c>
      <c r="E4" s="4">
        <v>1</v>
      </c>
      <c r="G4" s="20"/>
      <c r="H4" s="20"/>
    </row>
    <row r="5" spans="1:8" ht="21.25" customHeight="1" x14ac:dyDescent="0.2">
      <c r="A5" s="3" t="s">
        <v>3</v>
      </c>
      <c r="B5" s="7">
        <v>4</v>
      </c>
      <c r="C5" s="7">
        <v>90</v>
      </c>
      <c r="D5" s="7">
        <v>60</v>
      </c>
      <c r="E5" s="4">
        <v>0</v>
      </c>
    </row>
    <row r="6" spans="1:8" ht="21.25" customHeight="1" x14ac:dyDescent="0.2">
      <c r="A6" s="3" t="s">
        <v>4</v>
      </c>
      <c r="B6" s="7">
        <v>2</v>
      </c>
      <c r="C6" s="7">
        <v>20</v>
      </c>
      <c r="D6" s="7">
        <v>30</v>
      </c>
      <c r="E6" s="4">
        <v>0</v>
      </c>
    </row>
    <row r="7" spans="1:8" ht="21.25" customHeight="1" x14ac:dyDescent="0.2">
      <c r="A7" s="1"/>
      <c r="B7" s="8"/>
      <c r="C7" s="8"/>
      <c r="D7" s="8"/>
      <c r="E7" s="1"/>
    </row>
    <row r="8" spans="1:8" ht="21.25" customHeight="1" x14ac:dyDescent="0.2">
      <c r="A8" s="5" t="s">
        <v>16</v>
      </c>
      <c r="B8" s="9">
        <f>SUMPRODUCT(B2:B6,E2:E6)</f>
        <v>6</v>
      </c>
      <c r="C8" s="8"/>
      <c r="D8" s="8"/>
      <c r="E8" s="1"/>
    </row>
    <row r="9" spans="1:8" ht="21.25" customHeight="1" x14ac:dyDescent="0.2">
      <c r="A9" s="5" t="s">
        <v>17</v>
      </c>
      <c r="B9" s="9">
        <f>SUMPRODUCT(C2:C6,E2:E6)</f>
        <v>90</v>
      </c>
      <c r="C9" s="8"/>
      <c r="D9" s="8"/>
      <c r="E9" s="1"/>
    </row>
    <row r="10" spans="1:8" ht="21.25" customHeight="1" x14ac:dyDescent="0.2">
      <c r="A10" s="5" t="s">
        <v>18</v>
      </c>
      <c r="B10" s="9">
        <f>SUMPRODUCT(D2:D6,E2:E6)</f>
        <v>110</v>
      </c>
      <c r="C10" s="8"/>
      <c r="D10" s="8"/>
      <c r="E10" s="1"/>
    </row>
    <row r="11" spans="1:8" ht="21.25" customHeight="1" x14ac:dyDescent="0.2">
      <c r="A11" s="1"/>
      <c r="B11" s="8"/>
      <c r="C11" s="8"/>
      <c r="D11" s="8"/>
      <c r="E11" s="1"/>
    </row>
    <row r="12" spans="1:8" ht="42.75" customHeight="1" x14ac:dyDescent="0.2">
      <c r="A12" s="6" t="s">
        <v>19</v>
      </c>
      <c r="B12" s="10">
        <v>90</v>
      </c>
      <c r="C12" s="8"/>
      <c r="D12" s="8"/>
      <c r="E12" s="1"/>
    </row>
    <row r="13" spans="1:8" ht="42.75" customHeight="1" x14ac:dyDescent="0.2">
      <c r="A13" s="6" t="s">
        <v>20</v>
      </c>
      <c r="B13" s="10">
        <v>90</v>
      </c>
      <c r="C13" s="8"/>
      <c r="D13" s="8"/>
      <c r="E13" s="1"/>
    </row>
  </sheetData>
  <mergeCells count="1">
    <mergeCell ref="G1:H4"/>
  </mergeCells>
  <conditionalFormatting sqref="E2:E6">
    <cfRule type="expression" dxfId="1" priority="1">
      <formula>E2=1</formula>
    </cfRule>
    <cfRule type="expression" dxfId="0" priority="2">
      <formula>E2=0</formula>
    </cfRule>
  </conditionalFormatting>
  <dataValidations count="1">
    <dataValidation type="list" sqref="E2:E6" xr:uid="{00000000-0002-0000-0000-000000000000}">
      <formula1>"0,1"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/>
  </sheetViews>
  <sheetFormatPr baseColWidth="10" defaultRowHeight="16" x14ac:dyDescent="0.2"/>
  <cols>
    <col min="1" max="1" width="22" customWidth="1"/>
    <col min="2" max="3" width="18" customWidth="1"/>
    <col min="4" max="4" width="22" customWidth="1"/>
    <col min="5" max="6" width="18" customWidth="1"/>
    <col min="8" max="9" width="28" customWidth="1"/>
  </cols>
  <sheetData>
    <row r="1" spans="1:9" ht="21.25" customHeight="1" x14ac:dyDescent="0.2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H1" s="20" t="s">
        <v>27</v>
      </c>
      <c r="I1" s="20"/>
    </row>
    <row r="2" spans="1:9" ht="21.25" customHeight="1" x14ac:dyDescent="0.2">
      <c r="A2" s="11">
        <v>1</v>
      </c>
      <c r="B2" s="12">
        <v>0</v>
      </c>
      <c r="C2" s="12">
        <v>6</v>
      </c>
      <c r="D2" s="12">
        <v>0</v>
      </c>
      <c r="E2" s="12">
        <v>10</v>
      </c>
      <c r="F2" s="13">
        <v>0</v>
      </c>
      <c r="H2" s="20"/>
      <c r="I2" s="20"/>
    </row>
    <row r="3" spans="1:9" ht="21.25" customHeight="1" x14ac:dyDescent="0.2">
      <c r="A3" s="11">
        <v>2</v>
      </c>
      <c r="B3" s="12">
        <v>0</v>
      </c>
      <c r="C3" s="12">
        <v>0</v>
      </c>
      <c r="D3" s="12">
        <v>3</v>
      </c>
      <c r="E3" s="12">
        <v>10</v>
      </c>
      <c r="F3" s="13">
        <v>0</v>
      </c>
      <c r="H3" s="20"/>
      <c r="I3" s="20"/>
    </row>
    <row r="4" spans="1:9" ht="21.25" customHeight="1" x14ac:dyDescent="0.2">
      <c r="A4" s="11">
        <v>3</v>
      </c>
      <c r="B4" s="12">
        <v>8</v>
      </c>
      <c r="C4" s="12">
        <v>0</v>
      </c>
      <c r="D4" s="12">
        <v>0</v>
      </c>
      <c r="E4" s="12">
        <v>4</v>
      </c>
      <c r="F4" s="13">
        <v>0</v>
      </c>
      <c r="H4" s="20"/>
      <c r="I4" s="20"/>
    </row>
    <row r="5" spans="1:9" ht="21.25" customHeight="1" x14ac:dyDescent="0.2">
      <c r="A5" s="11">
        <v>4</v>
      </c>
      <c r="B5" s="12">
        <v>2</v>
      </c>
      <c r="C5" s="12">
        <v>1</v>
      </c>
      <c r="D5" s="12">
        <v>2</v>
      </c>
      <c r="E5" s="12">
        <v>1</v>
      </c>
      <c r="F5" s="13">
        <v>1675</v>
      </c>
    </row>
    <row r="6" spans="1:9" ht="21.25" customHeight="1" x14ac:dyDescent="0.2">
      <c r="A6" s="11">
        <v>5</v>
      </c>
      <c r="B6" s="12">
        <v>7</v>
      </c>
      <c r="C6" s="12">
        <v>1</v>
      </c>
      <c r="D6" s="12">
        <v>0</v>
      </c>
      <c r="E6" s="12">
        <v>1</v>
      </c>
      <c r="F6" s="13">
        <v>332</v>
      </c>
    </row>
    <row r="7" spans="1:9" ht="21.25" customHeight="1" x14ac:dyDescent="0.2">
      <c r="A7" s="1"/>
      <c r="B7" s="14"/>
      <c r="C7" s="14"/>
      <c r="D7" s="14"/>
      <c r="E7" s="14"/>
      <c r="F7" s="14"/>
    </row>
    <row r="8" spans="1:9" ht="21.25" customHeight="1" x14ac:dyDescent="0.2">
      <c r="A8" s="5" t="s">
        <v>28</v>
      </c>
      <c r="B8" s="15">
        <f>SUMPRODUCT(B2:B6,F2:F6)</f>
        <v>5674</v>
      </c>
      <c r="C8" s="14"/>
      <c r="D8" s="16" t="s">
        <v>29</v>
      </c>
      <c r="E8" s="17">
        <v>5670</v>
      </c>
      <c r="F8" s="14"/>
    </row>
    <row r="9" spans="1:9" ht="21.25" customHeight="1" x14ac:dyDescent="0.2">
      <c r="A9" s="5" t="s">
        <v>30</v>
      </c>
      <c r="B9" s="15">
        <f>SUMPRODUCT(C2:C6,F2:F6)</f>
        <v>2007</v>
      </c>
      <c r="C9" s="14"/>
      <c r="D9" s="16" t="s">
        <v>31</v>
      </c>
      <c r="E9" s="17">
        <v>1680</v>
      </c>
      <c r="F9" s="14"/>
    </row>
    <row r="10" spans="1:9" ht="21.25" customHeight="1" x14ac:dyDescent="0.2">
      <c r="A10" s="5" t="s">
        <v>32</v>
      </c>
      <c r="B10" s="15">
        <f>SUMPRODUCT(D2:D6,F2:F6)</f>
        <v>3350</v>
      </c>
      <c r="C10" s="14"/>
      <c r="D10" s="16" t="s">
        <v>33</v>
      </c>
      <c r="E10" s="17">
        <v>3350</v>
      </c>
      <c r="F10" s="14"/>
    </row>
    <row r="11" spans="1:9" ht="21.25" customHeight="1" x14ac:dyDescent="0.2">
      <c r="A11" s="5" t="s">
        <v>34</v>
      </c>
      <c r="B11" s="15">
        <f>SUMPRODUCT(E2:E6,F2:F6)</f>
        <v>2007</v>
      </c>
      <c r="C11" s="14"/>
      <c r="D11" s="14"/>
      <c r="E11" s="14"/>
      <c r="F11" s="14"/>
    </row>
  </sheetData>
  <mergeCells count="1">
    <mergeCell ref="H1:I4"/>
  </mergeCells>
  <conditionalFormatting sqref="F2:F6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{2EBA0E38-8778-3B80-A3B5-11595432FCDA}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BA0E38-8778-3B80-A3B5-11595432FCDA}">
            <x14:dataBar>
              <x14:cfvo type="min"/>
              <x14:cfvo type="max"/>
              <x14:negativeFillColor auto="1"/>
              <x14:axisColor auto="1"/>
            </x14:dataBar>
          </x14:cfRule>
          <xm:sqref>F2:F6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tabSelected="1" workbookViewId="0">
      <selection activeCell="J7" sqref="J7"/>
    </sheetView>
  </sheetViews>
  <sheetFormatPr baseColWidth="10" defaultRowHeight="16" x14ac:dyDescent="0.2"/>
  <cols>
    <col min="1" max="1" width="24" customWidth="1"/>
    <col min="2" max="2" width="19" customWidth="1"/>
    <col min="3" max="3" width="24" customWidth="1"/>
    <col min="4" max="7" width="19" customWidth="1"/>
    <col min="9" max="10" width="28" customWidth="1"/>
  </cols>
  <sheetData>
    <row r="1" spans="1:10" ht="21.25" customHeight="1" x14ac:dyDescent="0.2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I1" s="20" t="s">
        <v>42</v>
      </c>
      <c r="J1" s="20"/>
    </row>
    <row r="2" spans="1:10" ht="21.25" customHeight="1" x14ac:dyDescent="0.2">
      <c r="A2" s="3" t="s">
        <v>5</v>
      </c>
      <c r="B2" s="12">
        <v>4</v>
      </c>
      <c r="C2" s="12">
        <v>6</v>
      </c>
      <c r="D2" s="12">
        <v>10</v>
      </c>
      <c r="E2" s="12"/>
      <c r="F2" s="12"/>
      <c r="G2" s="12"/>
      <c r="I2" s="20"/>
      <c r="J2" s="20"/>
    </row>
    <row r="3" spans="1:10" ht="21.25" customHeight="1" x14ac:dyDescent="0.2">
      <c r="A3" s="3" t="s">
        <v>6</v>
      </c>
      <c r="B3" s="12">
        <v>10</v>
      </c>
      <c r="C3" s="12">
        <v>12</v>
      </c>
      <c r="D3" s="12">
        <v>4</v>
      </c>
      <c r="E3" s="12"/>
      <c r="F3" s="12"/>
      <c r="G3" s="12"/>
      <c r="I3" s="20"/>
      <c r="J3" s="20"/>
    </row>
    <row r="4" spans="1:10" ht="21.25" customHeight="1" x14ac:dyDescent="0.2">
      <c r="A4" s="3" t="s">
        <v>7</v>
      </c>
      <c r="B4" s="12">
        <v>5</v>
      </c>
      <c r="C4" s="12">
        <v>6</v>
      </c>
      <c r="D4" s="12">
        <v>3</v>
      </c>
      <c r="E4" s="12"/>
      <c r="F4" s="12"/>
      <c r="G4" s="12"/>
      <c r="I4" s="20"/>
      <c r="J4" s="20"/>
    </row>
    <row r="5" spans="1:10" ht="21.25" customHeight="1" x14ac:dyDescent="0.2">
      <c r="A5" s="3" t="s">
        <v>8</v>
      </c>
      <c r="B5" s="12">
        <v>160</v>
      </c>
      <c r="C5" s="12">
        <v>210</v>
      </c>
      <c r="D5" s="12">
        <v>50</v>
      </c>
      <c r="E5" s="12"/>
      <c r="F5" s="12"/>
      <c r="G5" s="12"/>
    </row>
    <row r="6" spans="1:10" ht="21.25" customHeight="1" x14ac:dyDescent="0.2">
      <c r="A6" s="3" t="s">
        <v>9</v>
      </c>
      <c r="B6" s="12">
        <v>2</v>
      </c>
      <c r="C6" s="12">
        <v>3</v>
      </c>
      <c r="D6" s="12">
        <v>25</v>
      </c>
      <c r="E6" s="12">
        <v>-50</v>
      </c>
      <c r="F6" s="12">
        <v>-60</v>
      </c>
      <c r="G6" s="12">
        <v>-250</v>
      </c>
    </row>
    <row r="7" spans="1:10" ht="21.25" customHeight="1" x14ac:dyDescent="0.2">
      <c r="A7" s="1"/>
      <c r="B7" s="14"/>
      <c r="C7" s="14"/>
      <c r="D7" s="14"/>
      <c r="E7" s="14"/>
      <c r="F7" s="14"/>
      <c r="G7" s="14"/>
    </row>
    <row r="8" spans="1:10" ht="21.25" customHeight="1" x14ac:dyDescent="0.2">
      <c r="A8" s="2" t="s">
        <v>43</v>
      </c>
      <c r="B8" s="18" t="s">
        <v>36</v>
      </c>
      <c r="C8" s="18" t="s">
        <v>37</v>
      </c>
      <c r="D8" s="18" t="s">
        <v>38</v>
      </c>
      <c r="E8" s="18" t="s">
        <v>39</v>
      </c>
      <c r="F8" s="18" t="s">
        <v>40</v>
      </c>
      <c r="G8" s="18" t="s">
        <v>41</v>
      </c>
    </row>
    <row r="9" spans="1:10" ht="21.25" customHeight="1" x14ac:dyDescent="0.2">
      <c r="A9" s="4" t="s">
        <v>44</v>
      </c>
      <c r="B9" s="13">
        <v>159</v>
      </c>
      <c r="C9" s="13">
        <v>194</v>
      </c>
      <c r="D9" s="13">
        <v>50</v>
      </c>
      <c r="E9" s="13">
        <v>1</v>
      </c>
      <c r="F9" s="13">
        <v>1</v>
      </c>
      <c r="G9" s="13">
        <v>1</v>
      </c>
    </row>
    <row r="10" spans="1:10" ht="21.25" customHeight="1" x14ac:dyDescent="0.2">
      <c r="A10" s="1"/>
      <c r="B10" s="14"/>
      <c r="C10" s="14"/>
      <c r="D10" s="14"/>
      <c r="E10" s="14"/>
      <c r="F10" s="14"/>
      <c r="G10" s="14"/>
    </row>
    <row r="11" spans="1:10" ht="21.25" customHeight="1" x14ac:dyDescent="0.2">
      <c r="A11" s="5" t="s">
        <v>45</v>
      </c>
      <c r="B11" s="19">
        <f>B6*B9+C6*C9+D6*D9+E6*E9+F6*F9+G6*G9</f>
        <v>1790</v>
      </c>
      <c r="C11" s="14"/>
      <c r="D11" s="14"/>
      <c r="E11" s="14"/>
      <c r="F11" s="14"/>
      <c r="G11" s="14"/>
    </row>
    <row r="12" spans="1:10" ht="21.25" customHeight="1" x14ac:dyDescent="0.2">
      <c r="A12" s="1"/>
      <c r="B12" s="14"/>
      <c r="C12" s="14"/>
      <c r="D12" s="14"/>
      <c r="E12" s="14"/>
      <c r="F12" s="14"/>
      <c r="G12" s="14"/>
    </row>
    <row r="13" spans="1:10" ht="21.25" customHeight="1" x14ac:dyDescent="0.2">
      <c r="A13" s="1"/>
      <c r="B13" s="14"/>
      <c r="C13" s="14"/>
      <c r="D13" s="14"/>
      <c r="E13" s="14"/>
      <c r="F13" s="14"/>
      <c r="G13" s="14"/>
    </row>
    <row r="14" spans="1:10" ht="21.25" customHeight="1" x14ac:dyDescent="0.2">
      <c r="A14" s="6" t="s">
        <v>46</v>
      </c>
      <c r="B14" s="17">
        <f>B2*B9+C2*C9+D2*D9</f>
        <v>2300</v>
      </c>
      <c r="C14" s="14">
        <v>2300</v>
      </c>
      <c r="D14" s="14"/>
      <c r="E14" s="14"/>
      <c r="F14" s="14"/>
      <c r="G14" s="14"/>
    </row>
    <row r="15" spans="1:10" ht="21.25" customHeight="1" x14ac:dyDescent="0.2">
      <c r="A15" s="6" t="s">
        <v>47</v>
      </c>
      <c r="B15" s="17">
        <f>B3*B9+C3*C9+D3*D9</f>
        <v>4118</v>
      </c>
      <c r="C15" s="14">
        <v>4200</v>
      </c>
      <c r="D15" s="14"/>
      <c r="E15" s="14"/>
      <c r="F15" s="14"/>
      <c r="G15" s="14"/>
    </row>
    <row r="16" spans="1:10" ht="21.25" customHeight="1" x14ac:dyDescent="0.2">
      <c r="A16" s="6" t="s">
        <v>48</v>
      </c>
      <c r="B16" s="17">
        <f>B4*B9+C4*C9+D4*D9</f>
        <v>2109</v>
      </c>
      <c r="C16" s="14">
        <v>2200</v>
      </c>
      <c r="D16" s="14"/>
      <c r="E16" s="14"/>
      <c r="F16" s="14"/>
      <c r="G16" s="14"/>
    </row>
    <row r="17" spans="1:7" ht="21.25" customHeight="1" x14ac:dyDescent="0.2">
      <c r="A17" s="6" t="s">
        <v>49</v>
      </c>
      <c r="B17" s="17">
        <f>B9</f>
        <v>159</v>
      </c>
      <c r="C17" s="16" t="s">
        <v>50</v>
      </c>
      <c r="D17" s="17">
        <f>B5*E9</f>
        <v>160</v>
      </c>
      <c r="E17" s="14"/>
      <c r="F17" s="14"/>
      <c r="G17" s="14"/>
    </row>
    <row r="18" spans="1:7" ht="21.25" customHeight="1" x14ac:dyDescent="0.2">
      <c r="A18" s="6" t="s">
        <v>51</v>
      </c>
      <c r="B18" s="17">
        <f>C9</f>
        <v>194</v>
      </c>
      <c r="C18" s="16" t="s">
        <v>52</v>
      </c>
      <c r="D18" s="17">
        <f>C5*F9</f>
        <v>210</v>
      </c>
      <c r="E18" s="14"/>
      <c r="F18" s="14"/>
      <c r="G18" s="14"/>
    </row>
    <row r="19" spans="1:7" ht="21.25" customHeight="1" x14ac:dyDescent="0.2">
      <c r="A19" s="6" t="s">
        <v>53</v>
      </c>
      <c r="B19" s="17">
        <f>D9</f>
        <v>50</v>
      </c>
      <c r="C19" s="16" t="s">
        <v>54</v>
      </c>
      <c r="D19" s="17">
        <f>D5*G9</f>
        <v>50</v>
      </c>
      <c r="E19" s="14"/>
      <c r="F19" s="14"/>
      <c r="G19" s="14"/>
    </row>
  </sheetData>
  <mergeCells count="1">
    <mergeCell ref="I1:J4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Prob1</vt:lpstr>
      <vt:lpstr>Prob2</vt:lpstr>
      <vt:lpstr>Prob3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Barrera, Juan J</cp:lastModifiedBy>
  <dcterms:created xsi:type="dcterms:W3CDTF">2026-05-02T23:16:13Z</dcterms:created>
  <dcterms:modified xsi:type="dcterms:W3CDTF">2026-05-02T23:16:13Z</dcterms:modified>
</cp:coreProperties>
</file>