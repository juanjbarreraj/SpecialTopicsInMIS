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pringSemester/SpecialTopicsInMIS/"/>
    </mc:Choice>
  </mc:AlternateContent>
  <xr:revisionPtr revIDLastSave="0" documentId="13_ncr:1_{2A912FA4-987A-3F4A-8C55-D70CDBDE4EE9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Problem 1" sheetId="2" r:id="rId1"/>
    <sheet name="Problem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G19" i="3"/>
  <c r="D19" i="3"/>
  <c r="E19" i="3" s="1"/>
  <c r="H14" i="3"/>
  <c r="D20" i="3" s="1"/>
  <c r="C10" i="3"/>
  <c r="B19" i="3" s="1"/>
  <c r="F19" i="3" s="1"/>
  <c r="E9" i="3"/>
  <c r="C9" i="3"/>
  <c r="B21" i="3" s="1"/>
  <c r="E8" i="3"/>
  <c r="C8" i="3"/>
  <c r="G22" i="3" s="1"/>
  <c r="G22" i="2"/>
  <c r="G21" i="2"/>
  <c r="B21" i="2"/>
  <c r="E21" i="2" s="1"/>
  <c r="G20" i="2"/>
  <c r="B14" i="2"/>
  <c r="B13" i="2"/>
  <c r="G10" i="2"/>
  <c r="B22" i="2" s="1"/>
  <c r="F10" i="2"/>
  <c r="B15" i="2" s="1"/>
  <c r="C10" i="2"/>
  <c r="B20" i="2" s="1"/>
  <c r="G9" i="2"/>
  <c r="F9" i="2"/>
  <c r="G8" i="2"/>
  <c r="F8" i="2"/>
  <c r="F21" i="3" l="1"/>
  <c r="E21" i="3"/>
  <c r="F22" i="2"/>
  <c r="E22" i="2"/>
  <c r="F20" i="2"/>
  <c r="E20" i="2"/>
  <c r="F21" i="2"/>
  <c r="F8" i="3"/>
  <c r="F10" i="3" s="1"/>
  <c r="B15" i="3" s="1"/>
  <c r="B14" i="3"/>
  <c r="B20" i="3"/>
  <c r="B13" i="3"/>
  <c r="B16" i="2"/>
  <c r="G8" i="3"/>
  <c r="G21" i="3"/>
  <c r="B22" i="3"/>
  <c r="D22" i="3"/>
  <c r="F9" i="3"/>
  <c r="G20" i="3"/>
  <c r="F22" i="3" l="1"/>
  <c r="E22" i="3"/>
  <c r="F20" i="3"/>
  <c r="E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Projected annual return for Internet Fund from problem statement: 12%</t>
        </r>
      </text>
    </comment>
    <comment ref="E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Risk rating for Internet Fund: 4 per $1,000 invested.</t>
        </r>
      </text>
    </comment>
    <comment ref="D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Projected annual return for Blue Chip Fund from problem statement: 9%</t>
        </r>
      </text>
    </comment>
    <comment ref="E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Blue Chip Fund risk inferred from the example 6(10)+4(10)=100, so Blue Chip = 6 per $1,000.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Exposure index per advertising dollar for newspaper: 50.</t>
        </r>
      </text>
    </comment>
    <comment ref="D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Exposure index per advertising dollar for radio: 80.</t>
        </r>
      </text>
    </comment>
  </commentList>
</comments>
</file>

<file path=xl/sharedStrings.xml><?xml version="1.0" encoding="utf-8"?>
<sst xmlns="http://schemas.openxmlformats.org/spreadsheetml/2006/main" count="80" uniqueCount="64">
  <si>
    <t>Constraint Checks</t>
  </si>
  <si>
    <t>Objective: Determine how much to invest in the Internet Fund and Blue Chip Fund to maximize annual return, subject to a $50,000 budget, at most $35,000 in Internet Fund, and a maximum portfolio risk rating of 240.</t>
  </si>
  <si>
    <t>Decision Variables and Model Inputs</t>
  </si>
  <si>
    <t>Fund</t>
  </si>
  <si>
    <t>Decision Variable</t>
  </si>
  <si>
    <t>Optimal Investment ($)</t>
  </si>
  <si>
    <t>Projected Return %</t>
  </si>
  <si>
    <t>Risk per $1,000</t>
  </si>
  <si>
    <t>Expected Return ($)</t>
  </si>
  <si>
    <t>Risk Points</t>
  </si>
  <si>
    <t>Comment</t>
  </si>
  <si>
    <t>Internet Fund</t>
  </si>
  <si>
    <t>x1</t>
  </si>
  <si>
    <t>At most $35,000 can be invested</t>
  </si>
  <si>
    <t>Blue Chip Fund</t>
  </si>
  <si>
    <t>x2</t>
  </si>
  <si>
    <t>Completes the portfolio</t>
  </si>
  <si>
    <t>Portfolio Totals</t>
  </si>
  <si>
    <t>Final Answer</t>
  </si>
  <si>
    <t>Internet Fund investment</t>
  </si>
  <si>
    <t>Blue Chip Fund investment</t>
  </si>
  <si>
    <t>Maximum annual return</t>
  </si>
  <si>
    <t>Portfolio risk rating</t>
  </si>
  <si>
    <t>Constraint</t>
  </si>
  <si>
    <t>LHS Formula Result</t>
  </si>
  <si>
    <t>Operator</t>
  </si>
  <si>
    <t>RHS</t>
  </si>
  <si>
    <t>Slack / Margin</t>
  </si>
  <si>
    <t>Status</t>
  </si>
  <si>
    <t>Formula Used</t>
  </si>
  <si>
    <t>Total funds invested</t>
  </si>
  <si>
    <t>&lt;=</t>
  </si>
  <si>
    <t>Internet fund limit</t>
  </si>
  <si>
    <t>Risk rating cap</t>
  </si>
  <si>
    <t>Model formulation: Max Return = 12%×Internet + 9%×Blue Chip. Risk rating = 4×(Internet/1000) + 6×(Blue Chip/1000).</t>
  </si>
  <si>
    <t>Objective: Allocate the $2,000 monthly advertising budget between newspaper and radio to maximize audience exposure. At least 25% of the budget must be spent on each medium, and newspaper spending must be at least twice radio spending.</t>
  </si>
  <si>
    <t>Medium</t>
  </si>
  <si>
    <t>Optimal Spend ($)</t>
  </si>
  <si>
    <t>Exposure Index / $</t>
  </si>
  <si>
    <t>Minimum 25% Budget ($)</t>
  </si>
  <si>
    <t>Exposure Units</t>
  </si>
  <si>
    <t>Constraint Driver</t>
  </si>
  <si>
    <t>Local Newspaper</t>
  </si>
  <si>
    <t>N</t>
  </si>
  <si>
    <t>Must be at least twice radio</t>
  </si>
  <si>
    <t>Radio</t>
  </si>
  <si>
    <t>R</t>
  </si>
  <si>
    <t/>
  </si>
  <si>
    <t>Higher exposure index but constrained</t>
  </si>
  <si>
    <t>Totals</t>
  </si>
  <si>
    <t>Recommended newspaper spend</t>
  </si>
  <si>
    <t>Total Budget</t>
  </si>
  <si>
    <t>Recommended radio spend</t>
  </si>
  <si>
    <t>25% Minimum per Medium</t>
  </si>
  <si>
    <t>Maximum total audience exposure</t>
  </si>
  <si>
    <t>Total spend uses full budget</t>
  </si>
  <si>
    <t>=</t>
  </si>
  <si>
    <t>Newspaper minimum spend (25%)</t>
  </si>
  <si>
    <t>&gt;=</t>
  </si>
  <si>
    <t>Radio minimum spend (25%)</t>
  </si>
  <si>
    <t>Newspaper at least twice radio</t>
  </si>
  <si>
    <t>Model formulation: Max Exposure = 50×Newspaper + 80×Radio. Because radio has the higher exposure index, the optimum occurs at the tightest allowed ratio: Newspaper = 2 × Radio.</t>
  </si>
  <si>
    <t>Problem 1  Blair &amp; Rosen Investment Portfolio</t>
  </si>
  <si>
    <t>Problem 2  Sea Wharf Restaurant Advertising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</si>
</sst>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[Red]\(\$#,##0\);\-"/>
    <numFmt numFmtId="165" formatCode="0.0%"/>
    <numFmt numFmtId="166" formatCode="#,##0;[Red]\(#,##0\);\-"/>
    <numFmt numFmtId="167" formatCode="\$#,##0.00;[Red]\(\$#,##0.00\);\-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666666"/>
      <name val="Calibri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8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CFF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164" fontId="5" fillId="7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0" fillId="0" borderId="1" xfId="0" applyBorder="1"/>
    <xf numFmtId="164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164" fontId="7" fillId="5" borderId="0" xfId="0" applyNumberFormat="1" applyFont="1" applyFill="1"/>
    <xf numFmtId="166" fontId="7" fillId="4" borderId="0" xfId="0" applyNumberFormat="1" applyFont="1" applyFill="1"/>
    <xf numFmtId="0" fontId="0" fillId="6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166" fontId="0" fillId="8" borderId="1" xfId="0" applyNumberFormat="1" applyFill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7" fillId="4" borderId="1" xfId="0" applyNumberFormat="1" applyFont="1" applyFill="1" applyBorder="1"/>
    <xf numFmtId="166" fontId="7" fillId="4" borderId="1" xfId="0" applyNumberFormat="1" applyFont="1" applyFill="1" applyBorder="1"/>
    <xf numFmtId="167" fontId="7" fillId="5" borderId="0" xfId="0" applyNumberFormat="1" applyFont="1" applyFill="1"/>
    <xf numFmtId="167" fontId="0" fillId="8" borderId="0" xfId="0" applyNumberFormat="1" applyFill="1"/>
    <xf numFmtId="167" fontId="0" fillId="0" borderId="1" xfId="0" applyNumberFormat="1" applyBorder="1" applyAlignment="1">
      <alignment horizontal="right" vertical="center"/>
    </xf>
    <xf numFmtId="167" fontId="0" fillId="8" borderId="1" xfId="0" applyNumberForma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4" fillId="6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76200</xdr:colOff>
      <xdr:row>61</xdr:row>
      <xdr:rowOff>152400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031D2DA-2CBC-31B0-8A46-5F038D92219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</xdr:colOff>
      <xdr:row>61</xdr:row>
      <xdr:rowOff>152400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F9846251-E1B0-0B4C-E74C-D3C03C50F0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508000</xdr:colOff>
      <xdr:row>65</xdr:row>
      <xdr:rowOff>38100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8FCB74A6-E909-FDDF-695D-F29C8F9C22C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65</xdr:row>
      <xdr:rowOff>38100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088F641-51F8-2FB3-C33A-070323DEC7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selection activeCell="E38" sqref="E38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8" width="16" customWidth="1"/>
  </cols>
  <sheetData>
    <row r="1" spans="1:8" ht="24" customHeight="1" x14ac:dyDescent="0.2">
      <c r="A1" s="34" t="s">
        <v>62</v>
      </c>
      <c r="B1" s="32"/>
      <c r="C1" s="32"/>
      <c r="D1" s="32"/>
      <c r="E1" s="32"/>
      <c r="F1" s="32"/>
      <c r="G1" s="32"/>
      <c r="H1" s="32"/>
    </row>
    <row r="3" spans="1:8" ht="36" customHeight="1" x14ac:dyDescent="0.2">
      <c r="A3" s="33" t="s">
        <v>1</v>
      </c>
      <c r="B3" s="32"/>
      <c r="C3" s="32"/>
      <c r="D3" s="32"/>
      <c r="E3" s="32"/>
      <c r="F3" s="32"/>
      <c r="G3" s="32"/>
      <c r="H3" s="32"/>
    </row>
    <row r="4" spans="1:8" ht="24" customHeight="1" x14ac:dyDescent="0.2">
      <c r="A4" s="32"/>
      <c r="B4" s="32"/>
      <c r="C4" s="32"/>
      <c r="D4" s="32"/>
      <c r="E4" s="32"/>
      <c r="F4" s="32"/>
      <c r="G4" s="32"/>
      <c r="H4" s="32"/>
    </row>
    <row r="6" spans="1:8" x14ac:dyDescent="0.2">
      <c r="A6" s="31" t="s">
        <v>2</v>
      </c>
      <c r="B6" s="32"/>
      <c r="C6" s="32"/>
      <c r="D6" s="32"/>
      <c r="E6" s="32"/>
      <c r="F6" s="32"/>
      <c r="G6" s="32"/>
      <c r="H6" s="32"/>
    </row>
    <row r="7" spans="1:8" x14ac:dyDescent="0.2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</row>
    <row r="8" spans="1:8" ht="32" x14ac:dyDescent="0.2">
      <c r="A8" s="2" t="s">
        <v>11</v>
      </c>
      <c r="B8" s="2" t="s">
        <v>12</v>
      </c>
      <c r="C8" s="4">
        <v>35000</v>
      </c>
      <c r="D8" s="5">
        <v>0.12</v>
      </c>
      <c r="E8" s="6">
        <v>4</v>
      </c>
      <c r="F8" s="7">
        <f>C8*D8</f>
        <v>4200</v>
      </c>
      <c r="G8" s="8">
        <f>C8/1000*E8</f>
        <v>140</v>
      </c>
      <c r="H8" s="3" t="s">
        <v>13</v>
      </c>
    </row>
    <row r="9" spans="1:8" ht="32" x14ac:dyDescent="0.2">
      <c r="A9" s="2" t="s">
        <v>14</v>
      </c>
      <c r="B9" s="2" t="s">
        <v>15</v>
      </c>
      <c r="C9" s="4">
        <v>15000</v>
      </c>
      <c r="D9" s="5">
        <v>0.09</v>
      </c>
      <c r="E9" s="6">
        <v>6</v>
      </c>
      <c r="F9" s="7">
        <f>C9*D9</f>
        <v>1350</v>
      </c>
      <c r="G9" s="8">
        <f>C9/1000*E9</f>
        <v>90</v>
      </c>
      <c r="H9" s="3" t="s">
        <v>16</v>
      </c>
    </row>
    <row r="10" spans="1:8" x14ac:dyDescent="0.2">
      <c r="A10" s="9" t="s">
        <v>17</v>
      </c>
      <c r="B10" s="10"/>
      <c r="C10" s="11">
        <f>SUM(C8:C9)</f>
        <v>50000</v>
      </c>
      <c r="D10" s="10"/>
      <c r="E10" s="10"/>
      <c r="F10" s="11">
        <f>SUM(F8:F9)</f>
        <v>5550</v>
      </c>
      <c r="G10" s="12">
        <f>SUM(G8:G9)</f>
        <v>230</v>
      </c>
      <c r="H10" s="10"/>
    </row>
    <row r="12" spans="1:8" x14ac:dyDescent="0.2">
      <c r="A12" s="31" t="s">
        <v>18</v>
      </c>
      <c r="B12" s="32"/>
      <c r="C12" s="32"/>
      <c r="D12" s="32"/>
      <c r="E12" s="32"/>
      <c r="F12" s="32"/>
      <c r="G12" s="32"/>
      <c r="H12" s="32"/>
    </row>
    <row r="13" spans="1:8" x14ac:dyDescent="0.2">
      <c r="A13" s="13" t="s">
        <v>19</v>
      </c>
      <c r="B13" s="14">
        <f>C8</f>
        <v>35000</v>
      </c>
    </row>
    <row r="14" spans="1:8" x14ac:dyDescent="0.2">
      <c r="A14" s="13" t="s">
        <v>20</v>
      </c>
      <c r="B14" s="14">
        <f>C9</f>
        <v>15000</v>
      </c>
    </row>
    <row r="15" spans="1:8" x14ac:dyDescent="0.2">
      <c r="A15" s="13" t="s">
        <v>21</v>
      </c>
      <c r="B15" s="14">
        <f>F10</f>
        <v>5550</v>
      </c>
    </row>
    <row r="16" spans="1:8" x14ac:dyDescent="0.2">
      <c r="A16" s="13" t="s">
        <v>22</v>
      </c>
      <c r="B16" s="15">
        <f>G10</f>
        <v>230</v>
      </c>
    </row>
    <row r="18" spans="1:8" x14ac:dyDescent="0.2">
      <c r="A18" s="31" t="s">
        <v>0</v>
      </c>
      <c r="B18" s="32"/>
      <c r="C18" s="32"/>
      <c r="D18" s="32"/>
      <c r="E18" s="32"/>
      <c r="F18" s="32"/>
      <c r="G18" s="32"/>
      <c r="H18" s="32"/>
    </row>
    <row r="19" spans="1:8" x14ac:dyDescent="0.2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29</v>
      </c>
    </row>
    <row r="20" spans="1:8" x14ac:dyDescent="0.2">
      <c r="A20" s="16" t="s">
        <v>30</v>
      </c>
      <c r="B20" s="17">
        <f>C10</f>
        <v>50000</v>
      </c>
      <c r="C20" s="18" t="s">
        <v>31</v>
      </c>
      <c r="D20" s="19">
        <v>50000</v>
      </c>
      <c r="E20" s="17">
        <f>D20-B20</f>
        <v>0</v>
      </c>
      <c r="F20" s="20" t="str">
        <f>IF(B20&lt;=D20,"OK","VIOLATION")</f>
        <v>OK</v>
      </c>
      <c r="G20" s="2">
        <f>SUM(C8:C9)</f>
        <v>50000</v>
      </c>
    </row>
    <row r="21" spans="1:8" x14ac:dyDescent="0.2">
      <c r="A21" s="16" t="s">
        <v>32</v>
      </c>
      <c r="B21" s="17">
        <f>C8</f>
        <v>35000</v>
      </c>
      <c r="C21" s="18" t="s">
        <v>31</v>
      </c>
      <c r="D21" s="19">
        <v>35000</v>
      </c>
      <c r="E21" s="17">
        <f>D21-B21</f>
        <v>0</v>
      </c>
      <c r="F21" s="20" t="str">
        <f>IF(B21&lt;=D21,"OK","VIOLATION")</f>
        <v>OK</v>
      </c>
      <c r="G21" s="2">
        <f>C8</f>
        <v>35000</v>
      </c>
    </row>
    <row r="22" spans="1:8" x14ac:dyDescent="0.2">
      <c r="A22" s="16" t="s">
        <v>33</v>
      </c>
      <c r="B22" s="21">
        <f>G10</f>
        <v>230</v>
      </c>
      <c r="C22" s="18" t="s">
        <v>31</v>
      </c>
      <c r="D22" s="22">
        <v>240</v>
      </c>
      <c r="E22" s="21">
        <f>D22-B22</f>
        <v>10</v>
      </c>
      <c r="F22" s="20" t="str">
        <f>IF(B22&lt;=D22,"OK","VIOLATION")</f>
        <v>OK</v>
      </c>
      <c r="G22" s="2">
        <f>SUM(G8:G9)</f>
        <v>230</v>
      </c>
    </row>
    <row r="24" spans="1:8" x14ac:dyDescent="0.2">
      <c r="A24" s="33" t="s">
        <v>34</v>
      </c>
      <c r="B24" s="32"/>
      <c r="C24" s="32"/>
      <c r="D24" s="32"/>
      <c r="E24" s="32"/>
      <c r="F24" s="32"/>
      <c r="G24" s="32"/>
      <c r="H24" s="32"/>
    </row>
    <row r="25" spans="1:8" x14ac:dyDescent="0.2">
      <c r="A25" s="32"/>
      <c r="B25" s="32"/>
      <c r="C25" s="32"/>
      <c r="D25" s="32"/>
      <c r="E25" s="32"/>
      <c r="F25" s="32"/>
      <c r="G25" s="32"/>
      <c r="H25" s="32"/>
    </row>
  </sheetData>
  <mergeCells count="6">
    <mergeCell ref="A24:H25"/>
    <mergeCell ref="A12:H12"/>
    <mergeCell ref="A18:H18"/>
    <mergeCell ref="A3:H4"/>
    <mergeCell ref="A1:H1"/>
    <mergeCell ref="A6:H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tabSelected="1" workbookViewId="0">
      <selection activeCell="B37" sqref="B37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18" customWidth="1"/>
    <col min="4" max="4" width="16" customWidth="1"/>
    <col min="5" max="6" width="18" customWidth="1"/>
    <col min="7" max="7" width="16" customWidth="1"/>
    <col min="8" max="8" width="22" customWidth="1"/>
  </cols>
  <sheetData>
    <row r="1" spans="1:8" ht="19" x14ac:dyDescent="0.2">
      <c r="A1" s="34" t="s">
        <v>63</v>
      </c>
      <c r="B1" s="32"/>
      <c r="C1" s="32"/>
      <c r="D1" s="32"/>
      <c r="E1" s="32"/>
      <c r="F1" s="32"/>
      <c r="G1" s="32"/>
      <c r="H1" s="32"/>
    </row>
    <row r="3" spans="1:8" x14ac:dyDescent="0.2">
      <c r="A3" s="33" t="s">
        <v>35</v>
      </c>
      <c r="B3" s="32"/>
      <c r="C3" s="32"/>
      <c r="D3" s="32"/>
      <c r="E3" s="32"/>
      <c r="F3" s="32"/>
      <c r="G3" s="32"/>
      <c r="H3" s="32"/>
    </row>
    <row r="4" spans="1:8" x14ac:dyDescent="0.2">
      <c r="A4" s="32"/>
      <c r="B4" s="32"/>
      <c r="C4" s="32"/>
      <c r="D4" s="32"/>
      <c r="E4" s="32"/>
      <c r="F4" s="32"/>
      <c r="G4" s="32"/>
      <c r="H4" s="32"/>
    </row>
    <row r="6" spans="1:8" x14ac:dyDescent="0.2">
      <c r="A6" s="31" t="s">
        <v>2</v>
      </c>
      <c r="B6" s="32"/>
      <c r="C6" s="32"/>
      <c r="D6" s="32"/>
      <c r="E6" s="32"/>
      <c r="F6" s="32"/>
      <c r="G6" s="32"/>
      <c r="H6" s="32"/>
    </row>
    <row r="7" spans="1:8" x14ac:dyDescent="0.2">
      <c r="A7" s="1" t="s">
        <v>36</v>
      </c>
      <c r="B7" s="1" t="s">
        <v>4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10</v>
      </c>
    </row>
    <row r="8" spans="1:8" ht="16" x14ac:dyDescent="0.2">
      <c r="A8" s="2" t="s">
        <v>42</v>
      </c>
      <c r="B8" s="2" t="s">
        <v>43</v>
      </c>
      <c r="C8" s="23">
        <f>2*$H$13/3</f>
        <v>1333.3333333333333</v>
      </c>
      <c r="D8" s="6">
        <v>50</v>
      </c>
      <c r="E8" s="24">
        <f>$H$14</f>
        <v>500</v>
      </c>
      <c r="F8" s="8">
        <f>C8*D8</f>
        <v>66666.666666666657</v>
      </c>
      <c r="G8" s="24">
        <f>ROUND(C8-2*C9,2)</f>
        <v>0</v>
      </c>
      <c r="H8" s="3" t="s">
        <v>44</v>
      </c>
    </row>
    <row r="9" spans="1:8" ht="32" x14ac:dyDescent="0.2">
      <c r="A9" s="2" t="s">
        <v>45</v>
      </c>
      <c r="B9" s="2" t="s">
        <v>46</v>
      </c>
      <c r="C9" s="23">
        <f>$H$13/3</f>
        <v>666.66666666666663</v>
      </c>
      <c r="D9" s="6">
        <v>80</v>
      </c>
      <c r="E9" s="24">
        <f>$H$14</f>
        <v>500</v>
      </c>
      <c r="F9" s="8">
        <f>C9*D9</f>
        <v>53333.333333333328</v>
      </c>
      <c r="G9" s="24" t="s">
        <v>47</v>
      </c>
      <c r="H9" s="3" t="s">
        <v>48</v>
      </c>
    </row>
    <row r="10" spans="1:8" x14ac:dyDescent="0.2">
      <c r="A10" s="9" t="s">
        <v>49</v>
      </c>
      <c r="B10" s="10"/>
      <c r="C10" s="25">
        <f>SUM(C8:C9)</f>
        <v>2000</v>
      </c>
      <c r="D10" s="10"/>
      <c r="E10" s="10"/>
      <c r="F10" s="26">
        <f>SUM(F8:F9)</f>
        <v>119999.99999999999</v>
      </c>
      <c r="G10" s="10"/>
      <c r="H10" s="10"/>
    </row>
    <row r="12" spans="1:8" x14ac:dyDescent="0.2">
      <c r="A12" s="31" t="s">
        <v>18</v>
      </c>
      <c r="B12" s="32"/>
      <c r="C12" s="32"/>
      <c r="D12" s="32"/>
      <c r="E12" s="32"/>
      <c r="F12" s="32"/>
      <c r="G12" s="32"/>
      <c r="H12" s="32"/>
    </row>
    <row r="13" spans="1:8" x14ac:dyDescent="0.2">
      <c r="A13" s="13" t="s">
        <v>50</v>
      </c>
      <c r="B13" s="27">
        <f>C8</f>
        <v>1333.3333333333333</v>
      </c>
      <c r="G13" s="13" t="s">
        <v>51</v>
      </c>
      <c r="H13" s="28">
        <v>2000</v>
      </c>
    </row>
    <row r="14" spans="1:8" x14ac:dyDescent="0.2">
      <c r="A14" s="13" t="s">
        <v>52</v>
      </c>
      <c r="B14" s="27">
        <f>C9</f>
        <v>666.66666666666663</v>
      </c>
      <c r="G14" s="13" t="s">
        <v>53</v>
      </c>
      <c r="H14" s="28">
        <f>H13*25%</f>
        <v>500</v>
      </c>
    </row>
    <row r="15" spans="1:8" x14ac:dyDescent="0.2">
      <c r="A15" s="13" t="s">
        <v>54</v>
      </c>
      <c r="B15" s="15">
        <f>F10</f>
        <v>119999.99999999999</v>
      </c>
    </row>
    <row r="17" spans="1:8" x14ac:dyDescent="0.2">
      <c r="A17" s="31" t="s">
        <v>0</v>
      </c>
      <c r="B17" s="32"/>
      <c r="C17" s="32"/>
      <c r="D17" s="32"/>
      <c r="E17" s="32"/>
      <c r="F17" s="32"/>
      <c r="G17" s="32"/>
      <c r="H17" s="32"/>
    </row>
    <row r="18" spans="1:8" x14ac:dyDescent="0.2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27</v>
      </c>
      <c r="F18" s="1" t="s">
        <v>28</v>
      </c>
      <c r="G18" s="1" t="s">
        <v>29</v>
      </c>
    </row>
    <row r="19" spans="1:8" x14ac:dyDescent="0.2">
      <c r="A19" s="16" t="s">
        <v>55</v>
      </c>
      <c r="B19" s="29">
        <f>C10</f>
        <v>2000</v>
      </c>
      <c r="C19" s="18" t="s">
        <v>56</v>
      </c>
      <c r="D19" s="30">
        <f>H13</f>
        <v>2000</v>
      </c>
      <c r="E19" s="29">
        <f>D19-B19</f>
        <v>0</v>
      </c>
      <c r="F19" s="20" t="str">
        <f>IF(ABS(B19-D19)&lt;0.01,"OK","VIOLATION")</f>
        <v>OK</v>
      </c>
      <c r="G19" s="2">
        <f>SUM(C8:C9)</f>
        <v>2000</v>
      </c>
    </row>
    <row r="20" spans="1:8" x14ac:dyDescent="0.2">
      <c r="A20" s="16" t="s">
        <v>57</v>
      </c>
      <c r="B20" s="29">
        <f>C8</f>
        <v>1333.3333333333333</v>
      </c>
      <c r="C20" s="18" t="s">
        <v>58</v>
      </c>
      <c r="D20" s="30">
        <f>H14</f>
        <v>500</v>
      </c>
      <c r="E20" s="29">
        <f>B20-D20</f>
        <v>833.33333333333326</v>
      </c>
      <c r="F20" s="20" t="str">
        <f>IF(B20&gt;=D20,"OK","VIOLATION")</f>
        <v>OK</v>
      </c>
      <c r="G20" s="2">
        <f>C8</f>
        <v>1333.3333333333333</v>
      </c>
    </row>
    <row r="21" spans="1:8" x14ac:dyDescent="0.2">
      <c r="A21" s="16" t="s">
        <v>59</v>
      </c>
      <c r="B21" s="29">
        <f>C9</f>
        <v>666.66666666666663</v>
      </c>
      <c r="C21" s="18" t="s">
        <v>58</v>
      </c>
      <c r="D21" s="30">
        <f>H14</f>
        <v>500</v>
      </c>
      <c r="E21" s="29">
        <f>B21-D21</f>
        <v>166.66666666666663</v>
      </c>
      <c r="F21" s="20" t="str">
        <f>IF(B21&gt;=D21,"OK","VIOLATION")</f>
        <v>OK</v>
      </c>
      <c r="G21" s="2">
        <f>C9</f>
        <v>666.66666666666663</v>
      </c>
    </row>
    <row r="22" spans="1:8" x14ac:dyDescent="0.2">
      <c r="A22" s="16" t="s">
        <v>60</v>
      </c>
      <c r="B22" s="29">
        <f>C8</f>
        <v>1333.3333333333333</v>
      </c>
      <c r="C22" s="18" t="s">
        <v>58</v>
      </c>
      <c r="D22" s="30">
        <f>2*C9</f>
        <v>1333.3333333333333</v>
      </c>
      <c r="E22" s="29">
        <f>ROUND(B22-D22,2)</f>
        <v>0</v>
      </c>
      <c r="F22" s="20" t="str">
        <f>IF(ABS(B22-D22)&lt;0.01,"OK","VIOLATION")</f>
        <v>OK</v>
      </c>
      <c r="G22" s="2">
        <f>C8-2*C9</f>
        <v>0</v>
      </c>
    </row>
    <row r="24" spans="1:8" x14ac:dyDescent="0.2">
      <c r="A24" s="33" t="s">
        <v>61</v>
      </c>
      <c r="B24" s="32"/>
      <c r="C24" s="32"/>
      <c r="D24" s="32"/>
      <c r="E24" s="32"/>
      <c r="F24" s="32"/>
      <c r="G24" s="32"/>
      <c r="H24" s="32"/>
    </row>
    <row r="25" spans="1:8" x14ac:dyDescent="0.2">
      <c r="A25" s="32"/>
      <c r="B25" s="32"/>
      <c r="C25" s="32"/>
      <c r="D25" s="32"/>
      <c r="E25" s="32"/>
      <c r="F25" s="32"/>
      <c r="G25" s="32"/>
      <c r="H25" s="32"/>
    </row>
  </sheetData>
  <mergeCells count="6">
    <mergeCell ref="A12:H12"/>
    <mergeCell ref="A3:H4"/>
    <mergeCell ref="A24:H25"/>
    <mergeCell ref="A1:H1"/>
    <mergeCell ref="A6:H6"/>
    <mergeCell ref="A17:H1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JuanBarrera</dc:creator>
  <cp:keywords/>
  <dc:description/>
  <cp:lastModifiedBy>Barrera, Juan J</cp:lastModifiedBy>
  <dcterms:modified xsi:type="dcterms:W3CDTF">2026-03-26T19:49:48Z</dcterms:modified>
  <cp:category/>
</cp:coreProperties>
</file>