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juanbarrera/Documents/2026/SpringSemester/SpecialTopicsInMIS/"/>
    </mc:Choice>
  </mc:AlternateContent>
  <xr:revisionPtr revIDLastSave="0" documentId="13_ncr:1_{7B19B2F2-585C-354F-A6A7-D1887E43DD28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Problem 1 - Advertising" sheetId="1" r:id="rId1"/>
    <sheet name="Problem 3 - Projec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  <c r="B10" i="2"/>
  <c r="B9" i="2"/>
  <c r="B8" i="2"/>
  <c r="B7" i="2"/>
  <c r="G11" i="1"/>
  <c r="G10" i="1"/>
  <c r="I8" i="1"/>
  <c r="H8" i="1"/>
  <c r="G12" i="1" s="1"/>
  <c r="G8" i="1"/>
  <c r="G13" i="1" s="1"/>
  <c r="I6" i="1"/>
  <c r="H6" i="1"/>
  <c r="G6" i="1"/>
  <c r="I5" i="1"/>
  <c r="H5" i="1"/>
  <c r="G5" i="1"/>
  <c r="I4" i="1"/>
  <c r="H4" i="1"/>
  <c r="G4" i="1"/>
  <c r="I3" i="1"/>
  <c r="H3" i="1"/>
  <c r="G3" i="1"/>
  <c r="I2" i="1"/>
  <c r="H2" i="1"/>
  <c r="G2" i="1"/>
</calcChain>
</file>

<file path=xl/sharedStrings.xml><?xml version="1.0" encoding="utf-8"?>
<sst xmlns="http://schemas.openxmlformats.org/spreadsheetml/2006/main" count="36" uniqueCount="36">
  <si>
    <t>Media</t>
  </si>
  <si>
    <t>Reach/ad</t>
  </si>
  <si>
    <t>Cost/ad</t>
  </si>
  <si>
    <t>Max/month</t>
  </si>
  <si>
    <t>Quality</t>
  </si>
  <si>
    <t>Decision (x)</t>
  </si>
  <si>
    <t>Total Reach</t>
  </si>
  <si>
    <t>Total Cost</t>
  </si>
  <si>
    <t>Total Quality</t>
  </si>
  <si>
    <t>Daytime TV</t>
  </si>
  <si>
    <t>Evening TV</t>
  </si>
  <si>
    <t>Daily Newspaper</t>
  </si>
  <si>
    <t>Sunday Magazine</t>
  </si>
  <si>
    <t>Radio News</t>
  </si>
  <si>
    <t>Totals:</t>
  </si>
  <si>
    <t>TV Ads Used</t>
  </si>
  <si>
    <t>TV Spend</t>
  </si>
  <si>
    <t>Budget Check</t>
  </si>
  <si>
    <t>Customers Check</t>
  </si>
  <si>
    <t>Project</t>
  </si>
  <si>
    <t>NPV</t>
  </si>
  <si>
    <t>Year 1</t>
  </si>
  <si>
    <t>Year 2</t>
  </si>
  <si>
    <t>Year 3</t>
  </si>
  <si>
    <t>Year 4</t>
  </si>
  <si>
    <t>Decision (0/1)</t>
  </si>
  <si>
    <t>Plant Expansion</t>
  </si>
  <si>
    <t>Warehouse Expansion</t>
  </si>
  <si>
    <t>New Machinery</t>
  </si>
  <si>
    <t>New Product Research</t>
  </si>
  <si>
    <t>Total NPV</t>
  </si>
  <si>
    <t>Year 1 Used</t>
  </si>
  <si>
    <t>Year 2 Used</t>
  </si>
  <si>
    <t>Year 3 Used</t>
  </si>
  <si>
    <t>Year 4 Used</t>
  </si>
  <si>
    <t>Available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</si>
</sst>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I24" sqref="H24:I24"/>
    </sheetView>
  </sheetViews>
  <sheetFormatPr baseColWidth="10" defaultColWidth="8.83203125" defaultRowHeight="15" x14ac:dyDescent="0.2"/>
  <cols>
    <col min="1" max="1" width="14" bestFit="1" customWidth="1"/>
    <col min="2" max="2" width="8.5" bestFit="1" customWidth="1"/>
    <col min="3" max="3" width="7.1640625" bestFit="1" customWidth="1"/>
    <col min="4" max="4" width="10.5" bestFit="1" customWidth="1"/>
    <col min="5" max="5" width="6.83203125" bestFit="1" customWidth="1"/>
    <col min="6" max="6" width="14" bestFit="1" customWidth="1"/>
    <col min="7" max="7" width="10" bestFit="1" customWidth="1"/>
    <col min="8" max="8" width="8.6640625" bestFit="1" customWidth="1"/>
    <col min="9" max="9" width="11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1000</v>
      </c>
      <c r="C2">
        <v>1500</v>
      </c>
      <c r="D2">
        <v>15</v>
      </c>
      <c r="E2">
        <v>65</v>
      </c>
      <c r="F2">
        <v>10</v>
      </c>
      <c r="G2">
        <f>B2*F2</f>
        <v>10000</v>
      </c>
      <c r="H2">
        <f>C2*F2</f>
        <v>15000</v>
      </c>
      <c r="I2">
        <f>E2*F2</f>
        <v>650</v>
      </c>
    </row>
    <row r="3" spans="1:9" x14ac:dyDescent="0.2">
      <c r="A3" t="s">
        <v>10</v>
      </c>
      <c r="B3">
        <v>2000</v>
      </c>
      <c r="C3">
        <v>3000</v>
      </c>
      <c r="D3">
        <v>10</v>
      </c>
      <c r="E3">
        <v>90</v>
      </c>
      <c r="F3">
        <v>0</v>
      </c>
      <c r="G3">
        <f>B3*F3</f>
        <v>0</v>
      </c>
      <c r="H3">
        <f>C3*F3</f>
        <v>0</v>
      </c>
      <c r="I3">
        <f>E3*F3</f>
        <v>0</v>
      </c>
    </row>
    <row r="4" spans="1:9" x14ac:dyDescent="0.2">
      <c r="A4" t="s">
        <v>11</v>
      </c>
      <c r="B4">
        <v>1500</v>
      </c>
      <c r="C4">
        <v>400</v>
      </c>
      <c r="D4">
        <v>25</v>
      </c>
      <c r="E4">
        <v>40</v>
      </c>
      <c r="F4">
        <v>25</v>
      </c>
      <c r="G4">
        <f>B4*F4</f>
        <v>37500</v>
      </c>
      <c r="H4">
        <f>C4*F4</f>
        <v>10000</v>
      </c>
      <c r="I4">
        <f>E4*F4</f>
        <v>1000</v>
      </c>
    </row>
    <row r="5" spans="1:9" x14ac:dyDescent="0.2">
      <c r="A5" t="s">
        <v>12</v>
      </c>
      <c r="B5">
        <v>2500</v>
      </c>
      <c r="C5">
        <v>1000</v>
      </c>
      <c r="D5">
        <v>4</v>
      </c>
      <c r="E5">
        <v>60</v>
      </c>
      <c r="F5">
        <v>2</v>
      </c>
      <c r="G5">
        <f>B5*F5</f>
        <v>5000</v>
      </c>
      <c r="H5">
        <f>C5*F5</f>
        <v>2000</v>
      </c>
      <c r="I5">
        <f>E5*F5</f>
        <v>120</v>
      </c>
    </row>
    <row r="6" spans="1:9" x14ac:dyDescent="0.2">
      <c r="A6" t="s">
        <v>13</v>
      </c>
      <c r="B6">
        <v>300</v>
      </c>
      <c r="C6">
        <v>100</v>
      </c>
      <c r="D6">
        <v>30</v>
      </c>
      <c r="E6">
        <v>20</v>
      </c>
      <c r="F6">
        <v>30</v>
      </c>
      <c r="G6">
        <f>B6*F6</f>
        <v>9000</v>
      </c>
      <c r="H6">
        <f>C6*F6</f>
        <v>3000</v>
      </c>
      <c r="I6">
        <f>E6*F6</f>
        <v>600</v>
      </c>
    </row>
    <row r="8" spans="1:9" x14ac:dyDescent="0.2">
      <c r="F8" t="s">
        <v>14</v>
      </c>
      <c r="G8" s="2">
        <f>SUM(G2:G6)</f>
        <v>61500</v>
      </c>
      <c r="H8" s="2">
        <f>SUM(H2:H6)</f>
        <v>30000</v>
      </c>
      <c r="I8" s="2">
        <f>SUM(I2:I6)</f>
        <v>2370</v>
      </c>
    </row>
    <row r="10" spans="1:9" x14ac:dyDescent="0.2">
      <c r="F10" t="s">
        <v>15</v>
      </c>
      <c r="G10">
        <f>F2+F3</f>
        <v>10</v>
      </c>
    </row>
    <row r="11" spans="1:9" x14ac:dyDescent="0.2">
      <c r="F11" t="s">
        <v>16</v>
      </c>
      <c r="G11">
        <f>C2*F2 + C3*F3</f>
        <v>15000</v>
      </c>
    </row>
    <row r="12" spans="1:9" x14ac:dyDescent="0.2">
      <c r="F12" t="s">
        <v>17</v>
      </c>
      <c r="G12">
        <f>H8</f>
        <v>30000</v>
      </c>
    </row>
    <row r="13" spans="1:9" x14ac:dyDescent="0.2">
      <c r="F13" t="s">
        <v>18</v>
      </c>
      <c r="G13">
        <f>G8</f>
        <v>61500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8.1640625" bestFit="1" customWidth="1"/>
    <col min="2" max="2" width="7.1640625" bestFit="1" customWidth="1"/>
    <col min="3" max="6" width="6.1640625" bestFit="1" customWidth="1"/>
    <col min="7" max="7" width="12" bestFit="1" customWidth="1"/>
  </cols>
  <sheetData>
    <row r="1" spans="1:7" x14ac:dyDescent="0.2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</row>
    <row r="2" spans="1:7" x14ac:dyDescent="0.2">
      <c r="A2" t="s">
        <v>26</v>
      </c>
      <c r="B2">
        <v>90000</v>
      </c>
      <c r="C2">
        <v>15000</v>
      </c>
      <c r="D2">
        <v>20000</v>
      </c>
      <c r="E2">
        <v>20000</v>
      </c>
      <c r="F2">
        <v>15000</v>
      </c>
      <c r="G2">
        <v>1</v>
      </c>
    </row>
    <row r="3" spans="1:7" x14ac:dyDescent="0.2">
      <c r="A3" t="s">
        <v>27</v>
      </c>
      <c r="B3">
        <v>40000</v>
      </c>
      <c r="C3">
        <v>10000</v>
      </c>
      <c r="D3">
        <v>15000</v>
      </c>
      <c r="E3">
        <v>20000</v>
      </c>
      <c r="F3">
        <v>5000</v>
      </c>
      <c r="G3">
        <v>1</v>
      </c>
    </row>
    <row r="4" spans="1:7" x14ac:dyDescent="0.2">
      <c r="A4" t="s">
        <v>28</v>
      </c>
      <c r="B4">
        <v>10000</v>
      </c>
      <c r="C4">
        <v>10000</v>
      </c>
      <c r="D4">
        <v>0</v>
      </c>
      <c r="E4">
        <v>0</v>
      </c>
      <c r="F4">
        <v>4000</v>
      </c>
      <c r="G4">
        <v>1</v>
      </c>
    </row>
    <row r="5" spans="1:7" x14ac:dyDescent="0.2">
      <c r="A5" t="s">
        <v>29</v>
      </c>
      <c r="B5">
        <v>37000</v>
      </c>
      <c r="C5">
        <v>15000</v>
      </c>
      <c r="D5">
        <v>10000</v>
      </c>
      <c r="E5">
        <v>10000</v>
      </c>
      <c r="F5">
        <v>10000</v>
      </c>
      <c r="G5">
        <v>0</v>
      </c>
    </row>
    <row r="7" spans="1:7" x14ac:dyDescent="0.2">
      <c r="A7" t="s">
        <v>30</v>
      </c>
      <c r="B7" s="2">
        <f>SUMPRODUCT(B2:B5,G2:G5)</f>
        <v>140000</v>
      </c>
    </row>
    <row r="8" spans="1:7" x14ac:dyDescent="0.2">
      <c r="A8" t="s">
        <v>31</v>
      </c>
      <c r="B8" s="2">
        <f>SUMPRODUCT(C2:C5,G2:G5)</f>
        <v>35000</v>
      </c>
    </row>
    <row r="9" spans="1:7" x14ac:dyDescent="0.2">
      <c r="A9" t="s">
        <v>32</v>
      </c>
      <c r="B9" s="2">
        <f>SUMPRODUCT(D2:D5,G2:G5)</f>
        <v>35000</v>
      </c>
    </row>
    <row r="10" spans="1:7" x14ac:dyDescent="0.2">
      <c r="A10" t="s">
        <v>33</v>
      </c>
      <c r="B10" s="2">
        <f>SUMPRODUCT(E2:E5,G2:G5)</f>
        <v>40000</v>
      </c>
    </row>
    <row r="11" spans="1:7" x14ac:dyDescent="0.2">
      <c r="A11" t="s">
        <v>34</v>
      </c>
      <c r="B11" s="2">
        <f>SUMPRODUCT(F2:F5,G2:G5)</f>
        <v>24000</v>
      </c>
    </row>
    <row r="13" spans="1:7" x14ac:dyDescent="0.2">
      <c r="A13" t="s">
        <v>35</v>
      </c>
      <c r="B13">
        <v>40000</v>
      </c>
      <c r="C13">
        <v>50000</v>
      </c>
      <c r="D13">
        <v>40000</v>
      </c>
      <c r="E13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1 - Advertising</vt:lpstr>
      <vt:lpstr>Problem 3 - Projects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JuanBarrera</dc:creator>
  <cp:keywords/>
  <dc:description/>
  <cp:lastModifiedBy>Barrera, Juan J</cp:lastModifiedBy>
  <dcterms:created xsi:type="dcterms:W3CDTF">2026-03-26T19:24:07Z</dcterms:created>
  <dcterms:modified xsi:type="dcterms:W3CDTF">2026-03-26T19:47:31Z</dcterms:modified>
  <cp:category/>
</cp:coreProperties>
</file>